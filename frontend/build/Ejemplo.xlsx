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ntthorntones-my.sharepoint.com/personal/josemanuel_valdes_es_gt_com/Documents/1. Projectes/___SmartAudit/3. Desarrollo/0. Portal/0. Mockup/"/>
    </mc:Choice>
  </mc:AlternateContent>
  <xr:revisionPtr revIDLastSave="8" documentId="8_{7922BADB-48BD-45B6-BDAC-D977945C289F}" xr6:coauthVersionLast="47" xr6:coauthVersionMax="47" xr10:uidLastSave="{64CC455A-AFF4-4DBA-9C36-CFD21E60FDDB}"/>
  <bookViews>
    <workbookView xWindow="-108" yWindow="-108" windowWidth="23256" windowHeight="13896" xr2:uid="{81074C02-23E9-47D6-93D7-C885FB605791}"/>
  </bookViews>
  <sheets>
    <sheet name="Resumen" sheetId="1" r:id="rId1"/>
    <sheet name="Detalle" sheetId="6" r:id="rId2"/>
    <sheet name="Val. 1" sheetId="2" r:id="rId3"/>
    <sheet name="Val. 2" sheetId="3" r:id="rId4"/>
    <sheet name="Val. 3" sheetId="4" r:id="rId5"/>
    <sheet name="Val. 4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D28" i="1"/>
  <c r="C28" i="1"/>
  <c r="B28" i="1"/>
  <c r="G27" i="1"/>
  <c r="F27" i="1"/>
  <c r="G26" i="1"/>
  <c r="F26" i="1"/>
  <c r="G25" i="1"/>
  <c r="F25" i="1"/>
  <c r="G24" i="1"/>
  <c r="F24" i="1"/>
  <c r="G23" i="1"/>
  <c r="F23" i="1"/>
  <c r="F28" i="1" l="1"/>
  <c r="G28" i="1"/>
</calcChain>
</file>

<file path=xl/sharedStrings.xml><?xml version="1.0" encoding="utf-8"?>
<sst xmlns="http://schemas.openxmlformats.org/spreadsheetml/2006/main" count="130" uniqueCount="80">
  <si>
    <t>Prueba</t>
  </si>
  <si>
    <t>Análisis de lenta rotación</t>
  </si>
  <si>
    <t>Parámetros entada</t>
  </si>
  <si>
    <t>Proyecto</t>
  </si>
  <si>
    <t>Período</t>
  </si>
  <si>
    <t>Fichero de inventario a fin del período</t>
  </si>
  <si>
    <t>Fichero de transacciones de existencias</t>
  </si>
  <si>
    <t>Fichero de tipos de movimientos</t>
  </si>
  <si>
    <t>Inventario_24.xlsx</t>
  </si>
  <si>
    <t>InventTrans 23.xlsx</t>
  </si>
  <si>
    <t>InventTrans_24.xlsx</t>
  </si>
  <si>
    <t>TiposTransacciones</t>
  </si>
  <si>
    <t>12345-ACME- Auditoría cuentas anuales (24-25)</t>
  </si>
  <si>
    <t>01/01/2024 a 31/12/2024</t>
  </si>
  <si>
    <t>Fichero</t>
  </si>
  <si>
    <t>Nombre fichero</t>
  </si>
  <si>
    <t>Validación</t>
  </si>
  <si>
    <t>Val. 01</t>
  </si>
  <si>
    <t>Val. 02</t>
  </si>
  <si>
    <t>Val. 03</t>
  </si>
  <si>
    <t>Val. 04</t>
  </si>
  <si>
    <t>Resumen resultado</t>
  </si>
  <si>
    <t>Objetivo</t>
  </si>
  <si>
    <t>Identificar los elementos de inventario, clasificados por familia de producto que  no se han vendido a un tercero en el plazo en el  que se considera obsoleto</t>
  </si>
  <si>
    <t>Plazo en el que se considera obsoleto</t>
  </si>
  <si>
    <t>meses</t>
  </si>
  <si>
    <t>Descripción de la prueba</t>
  </si>
  <si>
    <t>Datos inventario</t>
  </si>
  <si>
    <t>Unidades lenta rotación</t>
  </si>
  <si>
    <t>Porcentaje</t>
  </si>
  <si>
    <t>Familia de producto</t>
  </si>
  <si>
    <t>Unidades</t>
  </si>
  <si>
    <t>Importe</t>
  </si>
  <si>
    <t>Familia A</t>
  </si>
  <si>
    <t>Familia B</t>
  </si>
  <si>
    <t>Familia C</t>
  </si>
  <si>
    <t>Familia D</t>
  </si>
  <si>
    <t>Familia E</t>
  </si>
  <si>
    <t>Total</t>
  </si>
  <si>
    <t>Validación fichero</t>
  </si>
  <si>
    <t>Nombre del fichero</t>
  </si>
  <si>
    <t>Criterios validados</t>
  </si>
  <si>
    <t>Criterio 1</t>
  </si>
  <si>
    <t>Criterio 2</t>
  </si>
  <si>
    <t>Criterio 3</t>
  </si>
  <si>
    <t>Resultado</t>
  </si>
  <si>
    <t>Detalle de movimientos por artículo</t>
  </si>
  <si>
    <t>Artículo</t>
  </si>
  <si>
    <t>Familia</t>
  </si>
  <si>
    <t>Inventario</t>
  </si>
  <si>
    <t>Datos de la ejecución</t>
  </si>
  <si>
    <t>Fecha</t>
  </si>
  <si>
    <t>Usuario</t>
  </si>
  <si>
    <t>María García</t>
  </si>
  <si>
    <t>Coste unitario</t>
  </si>
  <si>
    <t>Valor</t>
  </si>
  <si>
    <t>Movimientos del período</t>
  </si>
  <si>
    <t>Compras</t>
  </si>
  <si>
    <t>Ventas</t>
  </si>
  <si>
    <t>Ajustes</t>
  </si>
  <si>
    <t>Es Lenta Rotación</t>
  </si>
  <si>
    <t>P047200875</t>
  </si>
  <si>
    <t>P032902484</t>
  </si>
  <si>
    <t>P129200046</t>
  </si>
  <si>
    <t>P051300051</t>
  </si>
  <si>
    <t>P070600406</t>
  </si>
  <si>
    <t>P113500023</t>
  </si>
  <si>
    <t>P002200546</t>
  </si>
  <si>
    <t>P113500032</t>
  </si>
  <si>
    <t>P042302795</t>
  </si>
  <si>
    <t>P042302720</t>
  </si>
  <si>
    <t>P033202524</t>
  </si>
  <si>
    <t>P146800032</t>
  </si>
  <si>
    <t>P127500724</t>
  </si>
  <si>
    <t>P150100647</t>
  </si>
  <si>
    <t>P150100582</t>
  </si>
  <si>
    <t>P032503390</t>
  </si>
  <si>
    <t>P152000007</t>
  </si>
  <si>
    <t>P132000180</t>
  </si>
  <si>
    <t>P089100433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</si>
</sst>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dd/mm/yyyy\ hh:mm:ss"/>
  </numFmts>
  <fonts count="10" x14ac:knownFonts="1">
    <font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3"/>
      <name val="Aptos Narrow"/>
      <family val="2"/>
    </font>
    <font>
      <b/>
      <sz val="10"/>
      <color theme="0"/>
      <name val="Aptos Narrow"/>
      <family val="2"/>
    </font>
    <font>
      <b/>
      <sz val="10"/>
      <color theme="1"/>
      <name val="Aptos Narrow"/>
      <family val="2"/>
    </font>
    <font>
      <sz val="8"/>
      <name val="Aptos Narrow"/>
      <family val="2"/>
    </font>
    <font>
      <b/>
      <sz val="10"/>
      <color indexed="8"/>
      <name val="Aptos Narrow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2" fillId="0" borderId="1" xfId="2"/>
    <xf numFmtId="0" fontId="0" fillId="0" borderId="4" xfId="0" applyBorder="1"/>
    <xf numFmtId="0" fontId="4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vertical="center"/>
    </xf>
    <xf numFmtId="3" fontId="0" fillId="0" borderId="3" xfId="0" applyNumberFormat="1" applyBorder="1" applyAlignment="1">
      <alignment vertical="center"/>
    </xf>
    <xf numFmtId="4" fontId="0" fillId="0" borderId="3" xfId="0" applyNumberFormat="1" applyBorder="1" applyAlignment="1">
      <alignment vertical="center"/>
    </xf>
    <xf numFmtId="9" fontId="0" fillId="0" borderId="3" xfId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4" fontId="4" fillId="0" borderId="3" xfId="0" applyNumberFormat="1" applyFont="1" applyBorder="1" applyAlignment="1">
      <alignment vertical="center"/>
    </xf>
    <xf numFmtId="9" fontId="4" fillId="0" borderId="3" xfId="1" applyFont="1" applyBorder="1" applyAlignment="1">
      <alignment vertical="center"/>
    </xf>
    <xf numFmtId="0" fontId="6" fillId="0" borderId="0" xfId="0" applyFont="1"/>
    <xf numFmtId="0" fontId="4" fillId="0" borderId="2" xfId="0" applyFont="1" applyBorder="1" applyAlignment="1">
      <alignment vertical="center"/>
    </xf>
    <xf numFmtId="0" fontId="9" fillId="0" borderId="0" xfId="6" applyFont="1"/>
    <xf numFmtId="0" fontId="0" fillId="0" borderId="2" xfId="0" applyBorder="1"/>
    <xf numFmtId="0" fontId="4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</cellXfs>
  <cellStyles count="8">
    <cellStyle name="Hipervínculo 2" xfId="5" xr:uid="{7F46AA64-2B98-4240-9BF3-FE8FDC25491A}"/>
    <cellStyle name="Millares 2" xfId="7" xr:uid="{BA2E310F-2C02-404B-8912-357081BDF704}"/>
    <cellStyle name="Moneda 2" xfId="4" xr:uid="{DE9D5797-6D93-4B35-B952-E9C9905B1E8E}"/>
    <cellStyle name="Normal" xfId="0" builtinId="0"/>
    <cellStyle name="Normal 12" xfId="6" xr:uid="{FA318927-A413-4B5F-92CD-13E62F1DC0E1}"/>
    <cellStyle name="Normal 2" xfId="3" xr:uid="{AF0720EE-ABAF-42E0-83EB-2E42490F1B34}"/>
    <cellStyle name="Porcentaje" xfId="1" builtinId="5"/>
    <cellStyle name="Título 3" xfId="2" builtinId="18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03F26-9244-424F-83A6-BCF4B03E734E}" name="Tabla1" displayName="Tabla1" ref="A4:I23" totalsRowShown="0">
  <autoFilter ref="A4:I23" xr:uid="{91303F26-9244-424F-83A6-BCF4B03E734E}"/>
  <tableColumns count="9">
    <tableColumn id="1" xr3:uid="{0270343A-6841-4E36-8446-3C8883D6CB4C}" name="Artículo" dataDxfId="3" dataCellStyle="Normal 12"/>
    <tableColumn id="2" xr3:uid="{71C38526-96D3-46C6-945D-C64AC616F088}" name="Familia"/>
    <tableColumn id="3" xr3:uid="{FB65003E-9095-4C6A-B8D2-5948D51A405E}" name="Inventario"/>
    <tableColumn id="4" xr3:uid="{FF0ED616-7D60-4452-B253-8B2A4209C9EE}" name="Coste unitario"/>
    <tableColumn id="5" xr3:uid="{72ACB903-DA14-4CF4-BA40-530BF8C0360C}" name="Valor"/>
    <tableColumn id="6" xr3:uid="{310F9845-C322-4895-A7B6-665A2A028F77}" name="Compras" dataDxfId="2"/>
    <tableColumn id="7" xr3:uid="{8A061F16-4DB9-4E85-AA36-BCEE10730431}" name="Ventas" dataDxfId="1"/>
    <tableColumn id="8" xr3:uid="{08868F9A-4F3A-412B-8AEC-5C669BE3CABB}" name="Ajustes" dataDxfId="0"/>
    <tableColumn id="9" xr3:uid="{AB686A46-9851-47D7-A3D9-6911CE966E4D}" name="Es Lenta Rot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AAB1-9794-4036-A966-81A513C25CFC}">
  <dimension ref="A1:K33"/>
  <sheetViews>
    <sheetView showGridLines="0" tabSelected="1" topLeftCell="A5" workbookViewId="0">
      <selection activeCell="D33" sqref="D33:E33"/>
    </sheetView>
  </sheetViews>
  <sheetFormatPr baseColWidth="10" defaultRowHeight="13.8" x14ac:dyDescent="0.3"/>
  <cols>
    <col min="1" max="1" width="17.6640625" customWidth="1"/>
    <col min="2" max="7" width="12.109375" customWidth="1"/>
  </cols>
  <sheetData>
    <row r="1" spans="1:11" ht="15" thickBot="1" x14ac:dyDescent="0.35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6" customHeight="1" x14ac:dyDescent="0.3">
      <c r="A2" s="1"/>
    </row>
    <row r="3" spans="1:11" x14ac:dyDescent="0.3">
      <c r="A3" s="1" t="s">
        <v>0</v>
      </c>
      <c r="B3" s="2" t="s">
        <v>1</v>
      </c>
      <c r="C3" s="2"/>
      <c r="D3" s="2"/>
    </row>
    <row r="4" spans="1:11" ht="6" customHeight="1" x14ac:dyDescent="0.3">
      <c r="A4" s="1"/>
    </row>
    <row r="5" spans="1:11" x14ac:dyDescent="0.3">
      <c r="A5" s="1" t="s">
        <v>22</v>
      </c>
      <c r="B5" s="20" t="s">
        <v>23</v>
      </c>
      <c r="C5" s="20"/>
      <c r="D5" s="20"/>
      <c r="E5" s="20"/>
      <c r="F5" s="20"/>
      <c r="G5" s="20"/>
      <c r="H5" s="20"/>
      <c r="I5" s="20"/>
      <c r="J5" s="20"/>
      <c r="K5" s="20"/>
    </row>
    <row r="6" spans="1:11" ht="6" customHeight="1" x14ac:dyDescent="0.3">
      <c r="A6" s="1"/>
    </row>
    <row r="7" spans="1:11" ht="15" thickBot="1" x14ac:dyDescent="0.35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</row>
    <row r="9" spans="1:11" x14ac:dyDescent="0.3">
      <c r="A9" s="1" t="s">
        <v>3</v>
      </c>
      <c r="D9" s="4" t="s">
        <v>12</v>
      </c>
      <c r="E9" s="2"/>
      <c r="F9" s="2"/>
      <c r="G9" s="2"/>
    </row>
    <row r="10" spans="1:11" x14ac:dyDescent="0.3">
      <c r="A10" s="1" t="s">
        <v>4</v>
      </c>
      <c r="D10" s="5" t="s">
        <v>13</v>
      </c>
      <c r="E10" s="5"/>
    </row>
    <row r="11" spans="1:11" x14ac:dyDescent="0.3">
      <c r="A11" s="1" t="s">
        <v>24</v>
      </c>
      <c r="D11" s="5">
        <v>18</v>
      </c>
      <c r="E11" s="5" t="s">
        <v>25</v>
      </c>
    </row>
    <row r="13" spans="1:11" x14ac:dyDescent="0.3">
      <c r="A13" s="1" t="s">
        <v>14</v>
      </c>
      <c r="B13" s="1"/>
      <c r="C13" s="1"/>
      <c r="D13" s="1" t="s">
        <v>15</v>
      </c>
      <c r="E13" s="1"/>
      <c r="F13" s="1" t="s">
        <v>16</v>
      </c>
    </row>
    <row r="14" spans="1:11" x14ac:dyDescent="0.3">
      <c r="A14" s="5" t="s">
        <v>5</v>
      </c>
      <c r="B14" s="5"/>
      <c r="C14" s="5"/>
      <c r="D14" s="5" t="s">
        <v>8</v>
      </c>
      <c r="E14" s="5"/>
      <c r="F14" s="5" t="s">
        <v>17</v>
      </c>
    </row>
    <row r="15" spans="1:11" x14ac:dyDescent="0.3">
      <c r="A15" s="7" t="s">
        <v>6</v>
      </c>
      <c r="B15" s="7"/>
      <c r="C15" s="7"/>
      <c r="D15" s="5" t="s">
        <v>9</v>
      </c>
      <c r="E15" s="5"/>
      <c r="F15" s="5" t="s">
        <v>18</v>
      </c>
    </row>
    <row r="16" spans="1:11" x14ac:dyDescent="0.3">
      <c r="A16" s="2"/>
      <c r="B16" s="2"/>
      <c r="C16" s="2"/>
      <c r="D16" s="5" t="s">
        <v>10</v>
      </c>
      <c r="E16" s="5"/>
      <c r="F16" s="5" t="s">
        <v>19</v>
      </c>
    </row>
    <row r="17" spans="1:11" x14ac:dyDescent="0.3">
      <c r="A17" s="5" t="s">
        <v>7</v>
      </c>
      <c r="B17" s="5"/>
      <c r="C17" s="5"/>
      <c r="D17" s="5" t="s">
        <v>11</v>
      </c>
      <c r="E17" s="5"/>
      <c r="F17" s="5" t="s">
        <v>20</v>
      </c>
    </row>
    <row r="19" spans="1:11" ht="15" thickBot="1" x14ac:dyDescent="0.35">
      <c r="A19" s="6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1" spans="1:11" x14ac:dyDescent="0.3">
      <c r="A21" s="1"/>
      <c r="B21" s="21" t="s">
        <v>27</v>
      </c>
      <c r="C21" s="21"/>
      <c r="D21" s="21" t="s">
        <v>28</v>
      </c>
      <c r="E21" s="21"/>
      <c r="F21" s="21" t="s">
        <v>29</v>
      </c>
      <c r="G21" s="21"/>
    </row>
    <row r="22" spans="1:11" x14ac:dyDescent="0.3">
      <c r="A22" s="8" t="s">
        <v>30</v>
      </c>
      <c r="B22" s="8" t="s">
        <v>31</v>
      </c>
      <c r="C22" s="9" t="s">
        <v>32</v>
      </c>
      <c r="D22" s="8" t="s">
        <v>31</v>
      </c>
      <c r="E22" s="10" t="s">
        <v>32</v>
      </c>
      <c r="F22" s="8" t="s">
        <v>31</v>
      </c>
      <c r="G22" s="8" t="s">
        <v>32</v>
      </c>
    </row>
    <row r="23" spans="1:11" x14ac:dyDescent="0.3">
      <c r="A23" s="3" t="s">
        <v>33</v>
      </c>
      <c r="B23" s="11">
        <v>4792</v>
      </c>
      <c r="C23" s="12">
        <v>253976</v>
      </c>
      <c r="D23" s="11">
        <v>1172</v>
      </c>
      <c r="E23" s="12">
        <v>39450.239999999998</v>
      </c>
      <c r="F23" s="13">
        <f t="shared" ref="F23:G27" si="0">D23/B23</f>
        <v>0.24457429048414023</v>
      </c>
      <c r="G23" s="13">
        <f t="shared" si="0"/>
        <v>0.15533058241723627</v>
      </c>
    </row>
    <row r="24" spans="1:11" x14ac:dyDescent="0.3">
      <c r="A24" s="3" t="s">
        <v>34</v>
      </c>
      <c r="B24" s="11">
        <v>2331</v>
      </c>
      <c r="C24" s="12">
        <v>41958</v>
      </c>
      <c r="D24" s="11">
        <v>452</v>
      </c>
      <c r="E24" s="12">
        <v>8655.77</v>
      </c>
      <c r="F24" s="13">
        <f t="shared" si="0"/>
        <v>0.19390819390819392</v>
      </c>
      <c r="G24" s="13">
        <f t="shared" si="0"/>
        <v>0.20629605796272463</v>
      </c>
    </row>
    <row r="25" spans="1:11" x14ac:dyDescent="0.3">
      <c r="A25" s="3" t="s">
        <v>35</v>
      </c>
      <c r="B25" s="11">
        <v>4424</v>
      </c>
      <c r="C25" s="12">
        <v>97328</v>
      </c>
      <c r="D25" s="11">
        <v>814</v>
      </c>
      <c r="E25" s="12">
        <v>21028.83</v>
      </c>
      <c r="F25" s="13">
        <f t="shared" si="0"/>
        <v>0.18399638336347196</v>
      </c>
      <c r="G25" s="13">
        <f t="shared" si="0"/>
        <v>0.21606146227190534</v>
      </c>
    </row>
    <row r="26" spans="1:11" x14ac:dyDescent="0.3">
      <c r="A26" s="3" t="s">
        <v>36</v>
      </c>
      <c r="B26" s="11">
        <v>4316</v>
      </c>
      <c r="C26" s="12">
        <v>215800</v>
      </c>
      <c r="D26" s="11">
        <v>679</v>
      </c>
      <c r="E26" s="12">
        <v>52389.04</v>
      </c>
      <c r="F26" s="13">
        <f t="shared" si="0"/>
        <v>0.15732159406858201</v>
      </c>
      <c r="G26" s="13">
        <f t="shared" si="0"/>
        <v>0.2427666357738647</v>
      </c>
    </row>
    <row r="27" spans="1:11" x14ac:dyDescent="0.3">
      <c r="A27" s="3" t="s">
        <v>37</v>
      </c>
      <c r="B27" s="11">
        <v>2147</v>
      </c>
      <c r="C27" s="12">
        <v>60116</v>
      </c>
      <c r="D27" s="11">
        <v>333</v>
      </c>
      <c r="E27" s="12">
        <v>14722.83</v>
      </c>
      <c r="F27" s="13">
        <f t="shared" si="0"/>
        <v>0.15510013972985562</v>
      </c>
      <c r="G27" s="13">
        <f t="shared" si="0"/>
        <v>0.24490701310799121</v>
      </c>
    </row>
    <row r="28" spans="1:11" x14ac:dyDescent="0.3">
      <c r="A28" s="8" t="s">
        <v>38</v>
      </c>
      <c r="B28" s="14">
        <f>SUM(B23:B27)</f>
        <v>18010</v>
      </c>
      <c r="C28" s="15">
        <f>SUM(C23:C27)</f>
        <v>669178</v>
      </c>
      <c r="D28" s="14">
        <f>SUM(D23:D27)</f>
        <v>3450</v>
      </c>
      <c r="E28" s="15">
        <f>SUM(E23:E27)</f>
        <v>136246.71</v>
      </c>
      <c r="F28" s="16">
        <f>+D28/B28</f>
        <v>0.19156024430871738</v>
      </c>
      <c r="G28" s="16">
        <f>E28/C28</f>
        <v>0.20360309215186392</v>
      </c>
    </row>
    <row r="30" spans="1:11" ht="15" thickBot="1" x14ac:dyDescent="0.35">
      <c r="A30" s="6" t="s">
        <v>50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7.8" customHeight="1" x14ac:dyDescent="0.3"/>
    <row r="32" spans="1:11" x14ac:dyDescent="0.3">
      <c r="A32" s="18" t="s">
        <v>3</v>
      </c>
      <c r="D32" s="23" t="s">
        <v>51</v>
      </c>
      <c r="E32" s="23"/>
      <c r="F32" s="18" t="s">
        <v>52</v>
      </c>
    </row>
    <row r="33" spans="1:7" x14ac:dyDescent="0.3">
      <c r="A33" s="3" t="s">
        <v>12</v>
      </c>
      <c r="B33" s="5"/>
      <c r="C33" s="5"/>
      <c r="D33" s="24">
        <v>45731.53020833333</v>
      </c>
      <c r="E33" s="24"/>
      <c r="F33" s="3" t="s">
        <v>53</v>
      </c>
      <c r="G33" s="5"/>
    </row>
  </sheetData>
  <mergeCells count="6">
    <mergeCell ref="B5:K5"/>
    <mergeCell ref="B21:C21"/>
    <mergeCell ref="D21:E21"/>
    <mergeCell ref="F21:G21"/>
    <mergeCell ref="D33:E33"/>
    <mergeCell ref="D32:E3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8860-EAD8-4031-A2AB-5390B67EAA91}">
  <dimension ref="A1:I23"/>
  <sheetViews>
    <sheetView workbookViewId="0">
      <selection activeCell="I5" sqref="I5"/>
    </sheetView>
  </sheetViews>
  <sheetFormatPr baseColWidth="10" defaultRowHeight="13.8" x14ac:dyDescent="0.3"/>
  <cols>
    <col min="4" max="4" width="13.33203125" customWidth="1"/>
    <col min="6" max="8" width="12.77734375" customWidth="1"/>
    <col min="9" max="9" width="16" customWidth="1"/>
  </cols>
  <sheetData>
    <row r="1" spans="1:9" ht="15" thickBot="1" x14ac:dyDescent="0.35">
      <c r="A1" s="6" t="s">
        <v>46</v>
      </c>
      <c r="B1" s="6"/>
      <c r="C1" s="6"/>
      <c r="D1" s="6"/>
      <c r="E1" s="6"/>
      <c r="F1" s="6"/>
      <c r="G1" s="6"/>
      <c r="H1" s="6"/>
      <c r="I1" s="6"/>
    </row>
    <row r="3" spans="1:9" x14ac:dyDescent="0.3">
      <c r="F3" s="22" t="s">
        <v>56</v>
      </c>
      <c r="G3" s="22"/>
      <c r="H3" s="22"/>
    </row>
    <row r="4" spans="1:9" x14ac:dyDescent="0.3">
      <c r="A4" t="s">
        <v>47</v>
      </c>
      <c r="B4" t="s">
        <v>48</v>
      </c>
      <c r="C4" t="s">
        <v>49</v>
      </c>
      <c r="D4" t="s">
        <v>54</v>
      </c>
      <c r="E4" t="s">
        <v>55</v>
      </c>
      <c r="F4" t="s">
        <v>57</v>
      </c>
      <c r="G4" t="s">
        <v>58</v>
      </c>
      <c r="H4" t="s">
        <v>59</v>
      </c>
      <c r="I4" t="s">
        <v>60</v>
      </c>
    </row>
    <row r="5" spans="1:9" x14ac:dyDescent="0.3">
      <c r="A5" s="19" t="s">
        <v>61</v>
      </c>
      <c r="B5" t="s">
        <v>33</v>
      </c>
      <c r="C5">
        <v>430</v>
      </c>
      <c r="F5">
        <v>78</v>
      </c>
      <c r="G5">
        <v>-83</v>
      </c>
      <c r="H5">
        <v>32</v>
      </c>
    </row>
    <row r="6" spans="1:9" x14ac:dyDescent="0.3">
      <c r="A6" s="19" t="s">
        <v>62</v>
      </c>
      <c r="B6" t="s">
        <v>34</v>
      </c>
      <c r="C6">
        <v>194</v>
      </c>
      <c r="F6">
        <v>66</v>
      </c>
      <c r="G6">
        <v>0</v>
      </c>
      <c r="H6">
        <v>-33</v>
      </c>
    </row>
    <row r="7" spans="1:9" x14ac:dyDescent="0.3">
      <c r="A7" s="19" t="s">
        <v>63</v>
      </c>
      <c r="B7" t="s">
        <v>35</v>
      </c>
      <c r="C7">
        <v>379</v>
      </c>
      <c r="F7">
        <v>39</v>
      </c>
      <c r="G7">
        <v>-163</v>
      </c>
      <c r="H7">
        <v>-47</v>
      </c>
    </row>
    <row r="8" spans="1:9" x14ac:dyDescent="0.3">
      <c r="A8" s="19" t="s">
        <v>64</v>
      </c>
      <c r="B8" t="s">
        <v>36</v>
      </c>
      <c r="C8">
        <v>393</v>
      </c>
      <c r="F8">
        <v>84</v>
      </c>
      <c r="G8">
        <v>-389</v>
      </c>
      <c r="H8">
        <v>-49</v>
      </c>
    </row>
    <row r="9" spans="1:9" x14ac:dyDescent="0.3">
      <c r="A9" s="19" t="s">
        <v>65</v>
      </c>
      <c r="B9" t="s">
        <v>37</v>
      </c>
      <c r="C9">
        <v>392</v>
      </c>
      <c r="F9">
        <v>84</v>
      </c>
      <c r="G9">
        <v>-111</v>
      </c>
      <c r="H9">
        <v>-36</v>
      </c>
    </row>
    <row r="10" spans="1:9" x14ac:dyDescent="0.3">
      <c r="A10" s="19" t="s">
        <v>66</v>
      </c>
      <c r="B10" t="s">
        <v>33</v>
      </c>
      <c r="C10">
        <v>83</v>
      </c>
      <c r="F10">
        <v>92</v>
      </c>
      <c r="G10">
        <v>-131</v>
      </c>
      <c r="H10">
        <v>-16</v>
      </c>
    </row>
    <row r="11" spans="1:9" x14ac:dyDescent="0.3">
      <c r="A11" s="19" t="s">
        <v>67</v>
      </c>
      <c r="B11" t="s">
        <v>34</v>
      </c>
      <c r="C11">
        <v>38</v>
      </c>
      <c r="F11">
        <v>56</v>
      </c>
      <c r="G11">
        <v>-229</v>
      </c>
      <c r="H11">
        <v>-31</v>
      </c>
    </row>
    <row r="12" spans="1:9" x14ac:dyDescent="0.3">
      <c r="A12" s="19" t="s">
        <v>68</v>
      </c>
      <c r="B12" t="s">
        <v>35</v>
      </c>
      <c r="C12">
        <v>79</v>
      </c>
      <c r="F12">
        <v>13</v>
      </c>
      <c r="G12">
        <v>-169</v>
      </c>
      <c r="H12">
        <v>-46</v>
      </c>
    </row>
    <row r="13" spans="1:9" x14ac:dyDescent="0.3">
      <c r="A13" s="19" t="s">
        <v>69</v>
      </c>
      <c r="B13" t="s">
        <v>36</v>
      </c>
      <c r="C13">
        <v>33</v>
      </c>
      <c r="F13">
        <v>79</v>
      </c>
      <c r="G13">
        <v>-188</v>
      </c>
      <c r="H13">
        <v>-25</v>
      </c>
    </row>
    <row r="14" spans="1:9" x14ac:dyDescent="0.3">
      <c r="A14" s="19" t="s">
        <v>70</v>
      </c>
      <c r="B14" t="s">
        <v>37</v>
      </c>
      <c r="C14">
        <v>491</v>
      </c>
      <c r="F14">
        <v>48</v>
      </c>
      <c r="G14">
        <v>-99</v>
      </c>
      <c r="H14">
        <v>-13</v>
      </c>
    </row>
    <row r="15" spans="1:9" x14ac:dyDescent="0.3">
      <c r="A15" s="19" t="s">
        <v>71</v>
      </c>
      <c r="B15" t="s">
        <v>33</v>
      </c>
      <c r="C15">
        <v>55</v>
      </c>
      <c r="F15">
        <v>32</v>
      </c>
      <c r="G15">
        <v>-260</v>
      </c>
      <c r="H15">
        <v>-36</v>
      </c>
    </row>
    <row r="16" spans="1:9" x14ac:dyDescent="0.3">
      <c r="A16" s="19" t="s">
        <v>72</v>
      </c>
      <c r="B16" t="s">
        <v>34</v>
      </c>
      <c r="C16">
        <v>393</v>
      </c>
      <c r="F16">
        <v>43</v>
      </c>
      <c r="G16">
        <v>-257</v>
      </c>
      <c r="H16">
        <v>-30</v>
      </c>
    </row>
    <row r="17" spans="1:8" x14ac:dyDescent="0.3">
      <c r="A17" s="19" t="s">
        <v>73</v>
      </c>
      <c r="B17" t="s">
        <v>35</v>
      </c>
      <c r="C17">
        <v>421</v>
      </c>
      <c r="F17">
        <v>34</v>
      </c>
      <c r="G17">
        <v>-369</v>
      </c>
      <c r="H17">
        <v>-39</v>
      </c>
    </row>
    <row r="18" spans="1:8" x14ac:dyDescent="0.3">
      <c r="A18" s="19" t="s">
        <v>74</v>
      </c>
      <c r="B18" t="s">
        <v>36</v>
      </c>
      <c r="C18">
        <v>272</v>
      </c>
      <c r="F18">
        <v>14</v>
      </c>
      <c r="G18">
        <v>-170</v>
      </c>
      <c r="H18">
        <v>-5</v>
      </c>
    </row>
    <row r="19" spans="1:8" x14ac:dyDescent="0.3">
      <c r="A19" s="19" t="s">
        <v>75</v>
      </c>
      <c r="B19" t="s">
        <v>37</v>
      </c>
      <c r="C19">
        <v>1264</v>
      </c>
      <c r="F19">
        <v>10</v>
      </c>
      <c r="G19">
        <v>-394</v>
      </c>
      <c r="H19">
        <v>-16</v>
      </c>
    </row>
    <row r="20" spans="1:8" x14ac:dyDescent="0.3">
      <c r="A20" s="19" t="s">
        <v>76</v>
      </c>
      <c r="B20" t="s">
        <v>33</v>
      </c>
      <c r="C20">
        <v>4224</v>
      </c>
      <c r="F20">
        <v>81</v>
      </c>
      <c r="G20">
        <v>-115</v>
      </c>
      <c r="H20">
        <v>-19</v>
      </c>
    </row>
    <row r="21" spans="1:8" x14ac:dyDescent="0.3">
      <c r="A21" s="19" t="s">
        <v>77</v>
      </c>
      <c r="B21" t="s">
        <v>34</v>
      </c>
      <c r="C21">
        <v>1706</v>
      </c>
      <c r="F21">
        <v>62</v>
      </c>
      <c r="G21">
        <v>-358</v>
      </c>
      <c r="H21">
        <v>-40</v>
      </c>
    </row>
    <row r="22" spans="1:8" x14ac:dyDescent="0.3">
      <c r="A22" s="19" t="s">
        <v>78</v>
      </c>
      <c r="B22" t="s">
        <v>35</v>
      </c>
      <c r="C22">
        <v>3545</v>
      </c>
      <c r="F22">
        <v>65</v>
      </c>
      <c r="G22">
        <v>-112</v>
      </c>
      <c r="H22">
        <v>0</v>
      </c>
    </row>
    <row r="23" spans="1:8" x14ac:dyDescent="0.3">
      <c r="A23" s="19" t="s">
        <v>79</v>
      </c>
      <c r="B23" t="s">
        <v>36</v>
      </c>
      <c r="C23">
        <v>3618</v>
      </c>
      <c r="F23">
        <v>72</v>
      </c>
      <c r="G23">
        <v>-353</v>
      </c>
      <c r="H23">
        <v>0</v>
      </c>
    </row>
  </sheetData>
  <mergeCells count="1">
    <mergeCell ref="F3:H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CC4B-6D2B-4AAF-827E-F339D0C440B6}">
  <dimension ref="A1:E8"/>
  <sheetViews>
    <sheetView workbookViewId="0">
      <selection activeCell="E21" sqref="E21"/>
    </sheetView>
  </sheetViews>
  <sheetFormatPr baseColWidth="10" defaultRowHeight="13.8" x14ac:dyDescent="0.3"/>
  <cols>
    <col min="1" max="1" width="18" customWidth="1"/>
  </cols>
  <sheetData>
    <row r="1" spans="1:5" ht="15" thickBot="1" x14ac:dyDescent="0.35">
      <c r="A1" s="6" t="s">
        <v>39</v>
      </c>
      <c r="B1" s="6"/>
      <c r="C1" s="6"/>
      <c r="D1" s="6"/>
      <c r="E1" s="6"/>
    </row>
    <row r="3" spans="1:5" x14ac:dyDescent="0.3">
      <c r="A3" s="17" t="s">
        <v>40</v>
      </c>
      <c r="B3" s="2" t="s">
        <v>8</v>
      </c>
      <c r="C3" s="2"/>
    </row>
    <row r="5" spans="1:5" x14ac:dyDescent="0.3">
      <c r="A5" s="17" t="s">
        <v>41</v>
      </c>
      <c r="B5" s="1" t="s">
        <v>45</v>
      </c>
    </row>
    <row r="6" spans="1:5" x14ac:dyDescent="0.3">
      <c r="A6" t="s">
        <v>42</v>
      </c>
    </row>
    <row r="7" spans="1:5" x14ac:dyDescent="0.3">
      <c r="A7" t="s">
        <v>43</v>
      </c>
    </row>
    <row r="8" spans="1:5" x14ac:dyDescent="0.3">
      <c r="A8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8117-5FCB-489B-AAD7-6BD382FA33BE}">
  <dimension ref="A1:E8"/>
  <sheetViews>
    <sheetView workbookViewId="0">
      <selection activeCell="E21" sqref="E21"/>
    </sheetView>
  </sheetViews>
  <sheetFormatPr baseColWidth="10" defaultRowHeight="13.8" x14ac:dyDescent="0.3"/>
  <cols>
    <col min="1" max="1" width="18" customWidth="1"/>
  </cols>
  <sheetData>
    <row r="1" spans="1:5" ht="15" thickBot="1" x14ac:dyDescent="0.35">
      <c r="A1" s="6" t="s">
        <v>39</v>
      </c>
      <c r="B1" s="6"/>
      <c r="C1" s="6"/>
      <c r="D1" s="6"/>
      <c r="E1" s="6"/>
    </row>
    <row r="3" spans="1:5" x14ac:dyDescent="0.3">
      <c r="A3" s="17" t="s">
        <v>40</v>
      </c>
      <c r="B3" s="2" t="s">
        <v>9</v>
      </c>
      <c r="C3" s="2"/>
    </row>
    <row r="5" spans="1:5" x14ac:dyDescent="0.3">
      <c r="A5" s="17" t="s">
        <v>41</v>
      </c>
      <c r="B5" s="1" t="s">
        <v>45</v>
      </c>
    </row>
    <row r="6" spans="1:5" x14ac:dyDescent="0.3">
      <c r="A6" t="s">
        <v>42</v>
      </c>
    </row>
    <row r="7" spans="1:5" x14ac:dyDescent="0.3">
      <c r="A7" t="s">
        <v>43</v>
      </c>
    </row>
    <row r="8" spans="1:5" x14ac:dyDescent="0.3">
      <c r="A8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9BA3-A56C-4939-86B9-77E6050A5EA6}">
  <dimension ref="A1:E8"/>
  <sheetViews>
    <sheetView workbookViewId="0">
      <selection activeCell="E21" sqref="E21"/>
    </sheetView>
  </sheetViews>
  <sheetFormatPr baseColWidth="10" defaultRowHeight="13.8" x14ac:dyDescent="0.3"/>
  <cols>
    <col min="1" max="1" width="18" customWidth="1"/>
  </cols>
  <sheetData>
    <row r="1" spans="1:5" ht="15" thickBot="1" x14ac:dyDescent="0.35">
      <c r="A1" s="6" t="s">
        <v>39</v>
      </c>
      <c r="B1" s="6"/>
      <c r="C1" s="6"/>
      <c r="D1" s="6"/>
      <c r="E1" s="6"/>
    </row>
    <row r="3" spans="1:5" x14ac:dyDescent="0.3">
      <c r="A3" s="17" t="s">
        <v>40</v>
      </c>
      <c r="B3" s="2" t="s">
        <v>10</v>
      </c>
      <c r="C3" s="2"/>
    </row>
    <row r="5" spans="1:5" x14ac:dyDescent="0.3">
      <c r="A5" s="17" t="s">
        <v>41</v>
      </c>
      <c r="B5" s="1" t="s">
        <v>45</v>
      </c>
    </row>
    <row r="6" spans="1:5" x14ac:dyDescent="0.3">
      <c r="A6" t="s">
        <v>42</v>
      </c>
    </row>
    <row r="7" spans="1:5" x14ac:dyDescent="0.3">
      <c r="A7" t="s">
        <v>43</v>
      </c>
    </row>
    <row r="8" spans="1:5" x14ac:dyDescent="0.3">
      <c r="A8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386D-FFA4-4E61-8355-F2CC1579B28A}">
  <dimension ref="A1:E8"/>
  <sheetViews>
    <sheetView workbookViewId="0">
      <selection activeCell="E21" sqref="E21"/>
    </sheetView>
  </sheetViews>
  <sheetFormatPr baseColWidth="10" defaultRowHeight="13.8" x14ac:dyDescent="0.3"/>
  <cols>
    <col min="1" max="1" width="18" customWidth="1"/>
  </cols>
  <sheetData>
    <row r="1" spans="1:5" ht="15" thickBot="1" x14ac:dyDescent="0.35">
      <c r="A1" s="6" t="s">
        <v>39</v>
      </c>
      <c r="B1" s="6"/>
      <c r="C1" s="6"/>
      <c r="D1" s="6"/>
      <c r="E1" s="6"/>
    </row>
    <row r="3" spans="1:5" x14ac:dyDescent="0.3">
      <c r="A3" s="1" t="s">
        <v>40</v>
      </c>
      <c r="B3" s="2" t="s">
        <v>11</v>
      </c>
      <c r="C3" s="2"/>
    </row>
    <row r="5" spans="1:5" x14ac:dyDescent="0.3">
      <c r="A5" s="1" t="s">
        <v>41</v>
      </c>
      <c r="B5" s="1" t="s">
        <v>45</v>
      </c>
    </row>
    <row r="6" spans="1:5" x14ac:dyDescent="0.3">
      <c r="A6" t="s">
        <v>42</v>
      </c>
    </row>
    <row r="7" spans="1:5" x14ac:dyDescent="0.3">
      <c r="A7" t="s">
        <v>43</v>
      </c>
    </row>
    <row r="8" spans="1:5" x14ac:dyDescent="0.3">
      <c r="A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Detalle</vt:lpstr>
      <vt:lpstr>Val. 1</vt:lpstr>
      <vt:lpstr>Val. 2</vt:lpstr>
      <vt:lpstr>Val. 3</vt:lpstr>
      <vt:lpstr>Val.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Valdés</dc:creator>
  <cp:lastModifiedBy>José Manuel Valdés</cp:lastModifiedBy>
  <dcterms:created xsi:type="dcterms:W3CDTF">2025-05-16T10:29:00Z</dcterms:created>
  <dcterms:modified xsi:type="dcterms:W3CDTF">2025-05-16T13:01:37Z</dcterms:modified>
</cp:coreProperties>
</file>